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1\"/>
    </mc:Choice>
  </mc:AlternateContent>
  <xr:revisionPtr revIDLastSave="0" documentId="8_{B82E4180-7C63-42DD-86C5-7082789D91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Responses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N12" i="1"/>
  <c r="N11" i="1"/>
  <c r="D2" i="1"/>
  <c r="D10" i="1" s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<sst xmlns="http://schemas.openxmlformats.org/spreadsheetml/2006/main" count="103" uniqueCount="57">
  <si>
    <t>Id</t>
  </si>
  <si>
    <t>Start time</t>
  </si>
  <si>
    <t>Completion time</t>
  </si>
  <si>
    <t>Email</t>
  </si>
  <si>
    <t>Name</t>
  </si>
  <si>
    <t>How often do you visit our smoothie café?</t>
  </si>
  <si>
    <t>What do you usually come here for?</t>
  </si>
  <si>
    <t>How do you usually order?</t>
  </si>
  <si>
    <t>About how much do you usually spend per visit?</t>
  </si>
  <si>
    <t> What keeps you coming back the most?</t>
  </si>
  <si>
    <t>How satisfied are you with your overall experience?</t>
  </si>
  <si>
    <t>What would you most like to see improved?</t>
  </si>
  <si>
    <t xml:space="preserve">Would you join a customer rewards program?
</t>
  </si>
  <si>
    <t>What would motivate you to visit more often?</t>
  </si>
  <si>
    <t>anonymous</t>
  </si>
  <si>
    <t>Daily</t>
  </si>
  <si>
    <t>Smoothies</t>
  </si>
  <si>
    <t>Takeout</t>
  </si>
  <si>
    <t>$21–$35</t>
  </si>
  <si>
    <t>Food quality</t>
  </si>
  <si>
    <t>Somewhat satisfied</t>
  </si>
  <si>
    <t>Wait times</t>
  </si>
  <si>
    <t>Yes</t>
  </si>
  <si>
    <t>Deals</t>
  </si>
  <si>
    <t>Prefer not to say</t>
  </si>
  <si>
    <t>Dessert/snacks</t>
  </si>
  <si>
    <t>Dine in</t>
  </si>
  <si>
    <t>$36–$50</t>
  </si>
  <si>
    <t>Fast service</t>
  </si>
  <si>
    <t>Very satisfied</t>
  </si>
  <si>
    <t>Menu variety</t>
  </si>
  <si>
    <t>Maybe</t>
  </si>
  <si>
    <t>New menu items</t>
  </si>
  <si>
    <t>Seasonal</t>
  </si>
  <si>
    <t>Lunch</t>
  </si>
  <si>
    <t>Delivery</t>
  </si>
  <si>
    <t>Neither satisfied nor dissatisfied</t>
  </si>
  <si>
    <t>Hours of operation</t>
  </si>
  <si>
    <t>Longer operating times</t>
  </si>
  <si>
    <t>Breakfast</t>
  </si>
  <si>
    <t>$10–$20</t>
  </si>
  <si>
    <t>Customer service</t>
  </si>
  <si>
    <t>New coffees</t>
  </si>
  <si>
    <t>Drinks</t>
  </si>
  <si>
    <t>Drink options</t>
  </si>
  <si>
    <t>New drinks</t>
  </si>
  <si>
    <t>Weekly</t>
  </si>
  <si>
    <t>Deals and discounts</t>
  </si>
  <si>
    <t>The Id column is there so each response has its own unique record number.</t>
  </si>
  <si>
    <t>Completion time = when they submitted it</t>
  </si>
  <si>
    <t>Start time = when the person started the form</t>
  </si>
  <si>
    <t>Id = response number for each submission</t>
  </si>
  <si>
    <t>For 3a, the first three auto-generated columns mean:</t>
  </si>
  <si>
    <t>Time</t>
  </si>
  <si>
    <t>Row Labels</t>
  </si>
  <si>
    <t>Grand Total</t>
  </si>
  <si>
    <t>Sum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</si>
</sst>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170" fontId="0" fillId="0" borderId="0" xfId="0" applyNumberFormat="1"/>
    <xf numFmtId="4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70" formatCode="mm/dd/yyyy\ hh:mm:ss"/>
    </dxf>
    <dxf>
      <numFmt numFmtId="170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5.B Smoothie Café Customer Feedback &amp; Rewards Survey.xlsx]Sheet1!PivotTable1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Sheet1!$N$15:$N$17</c:f>
              <c:strCache>
                <c:ptCount val="2"/>
                <c:pt idx="0">
                  <c:v>Maybe</c:v>
                </c:pt>
                <c:pt idx="1">
                  <c:v>Yes</c:v>
                </c:pt>
              </c:strCache>
            </c:strRef>
          </c:cat>
          <c:val>
            <c:numRef>
              <c:f>Sheet1!$O$15:$O$17</c:f>
              <c:numCache>
                <c:formatCode>General</c:formatCode>
                <c:ptCount val="2"/>
                <c:pt idx="0">
                  <c:v>2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C-4BFB-98CE-2FDF701E4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256640"/>
        <c:axId val="1368250880"/>
      </c:barChart>
      <c:catAx>
        <c:axId val="136825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250880"/>
        <c:crosses val="autoZero"/>
        <c:auto val="1"/>
        <c:lblAlgn val="ctr"/>
        <c:lblOffset val="100"/>
        <c:noMultiLvlLbl val="0"/>
      </c:catAx>
      <c:valAx>
        <c:axId val="13682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25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720588</xdr:colOff>
      <xdr:row>12</xdr:row>
      <xdr:rowOff>14356</xdr:rowOff>
    </xdr:from>
    <xdr:to>
      <xdr:col>12</xdr:col>
      <xdr:colOff>1088888</xdr:colOff>
      <xdr:row>27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58279-8FAB-AB90-F754-3A639E185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h Alssoudi" refreshedDate="46122.547287384259" createdVersion="8" refreshedVersion="8" minRefreshableVersion="3" recordCount="8" xr:uid="{B36AED3F-A98B-4034-8587-A16C3D7C60C4}">
  <cacheSource type="worksheet">
    <worksheetSource name="OfficeForms.Table"/>
  </cacheSource>
  <cacheFields count="15">
    <cacheField name="Id" numFmtId="0">
      <sharedItems containsSemiMixedTypes="0" containsString="0" containsNumber="1" containsInteger="1" minValue="1" maxValue="8"/>
    </cacheField>
    <cacheField name="Start time" numFmtId="170">
      <sharedItems containsSemiMixedTypes="0" containsNonDate="0" containsDate="1" containsString="0" minDate="2026-04-10T11:03:17" maxDate="2026-04-10T11:40:54"/>
    </cacheField>
    <cacheField name="Completion time" numFmtId="170">
      <sharedItems containsSemiMixedTypes="0" containsNonDate="0" containsDate="1" containsString="0" minDate="2026-04-10T11:03:32" maxDate="2026-04-10T11:43:00"/>
    </cacheField>
    <cacheField name="Time" numFmtId="45">
      <sharedItems containsSemiMixedTypes="0" containsNonDate="0" containsDate="1" containsString="0" minDate="1899-12-30T00:00:15" maxDate="1899-12-30T00:02:06"/>
    </cacheField>
    <cacheField name="Email" numFmtId="0">
      <sharedItems/>
    </cacheField>
    <cacheField name="Name" numFmtId="0">
      <sharedItems containsNonDate="0" containsString="0" containsBlank="1"/>
    </cacheField>
    <cacheField name="How often do you visit our smoothie café?" numFmtId="0">
      <sharedItems/>
    </cacheField>
    <cacheField name="What do you usually come here for?" numFmtId="0">
      <sharedItems/>
    </cacheField>
    <cacheField name="How do you usually order?" numFmtId="0">
      <sharedItems/>
    </cacheField>
    <cacheField name="About how much do you usually spend per visit?" numFmtId="0">
      <sharedItems/>
    </cacheField>
    <cacheField name=" What keeps you coming back the most?" numFmtId="0">
      <sharedItems/>
    </cacheField>
    <cacheField name="How satisfied are you with your overall experience?" numFmtId="0">
      <sharedItems/>
    </cacheField>
    <cacheField name="What would you most like to see improved?" numFmtId="0">
      <sharedItems/>
    </cacheField>
    <cacheField name="Would you join a customer rewards program?_x000a_" numFmtId="0">
      <sharedItems count="2">
        <s v="Yes"/>
        <s v="Maybe"/>
      </sharedItems>
    </cacheField>
    <cacheField name="What would motivate you to visit more often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4-10T11:03:17"/>
    <d v="2026-04-10T11:03:32"/>
    <d v="1899-12-30T00:00:15"/>
    <s v="anonymous"/>
    <m/>
    <s v="Daily"/>
    <s v="Smoothies"/>
    <s v="Takeout"/>
    <s v="$21–$35"/>
    <s v="Food quality"/>
    <s v="Somewhat satisfied"/>
    <s v="Wait times"/>
    <x v="0"/>
    <s v="Deals"/>
  </r>
  <r>
    <n v="2"/>
    <d v="2026-04-10T11:03:39"/>
    <d v="2026-04-10T11:04:04"/>
    <d v="1899-12-30T00:00:25"/>
    <s v="anonymous"/>
    <m/>
    <s v="Prefer not to say"/>
    <s v="Dessert/snacks"/>
    <s v="Dine in"/>
    <s v="$36–$50"/>
    <s v="Fast service"/>
    <s v="Very satisfied"/>
    <s v="Menu variety"/>
    <x v="1"/>
    <s v="New menu items"/>
  </r>
  <r>
    <n v="3"/>
    <d v="2026-04-10T11:04:06"/>
    <d v="2026-04-10T11:04:38"/>
    <d v="1899-12-30T00:00:32"/>
    <s v="anonymous"/>
    <m/>
    <s v="Seasonal"/>
    <s v="Lunch"/>
    <s v="Delivery"/>
    <s v="$21–$35"/>
    <s v="Food quality"/>
    <s v="Neither satisfied nor dissatisfied"/>
    <s v="Hours of operation"/>
    <x v="0"/>
    <s v="Longer operating times"/>
  </r>
  <r>
    <n v="4"/>
    <d v="2026-04-10T11:04:42"/>
    <d v="2026-04-10T11:05:09"/>
    <d v="1899-12-30T00:00:27"/>
    <s v="anonymous"/>
    <m/>
    <s v="Prefer not to say"/>
    <s v="Breakfast"/>
    <s v="Dine in"/>
    <s v="$10–$20"/>
    <s v="Food quality"/>
    <s v="Very satisfied"/>
    <s v="Customer service"/>
    <x v="0"/>
    <s v="New coffees"/>
  </r>
  <r>
    <n v="5"/>
    <d v="2026-04-10T11:05:13"/>
    <d v="2026-04-10T11:05:37"/>
    <d v="1899-12-30T00:00:24"/>
    <s v="anonymous"/>
    <m/>
    <s v="Seasonal"/>
    <s v="Smoothies"/>
    <s v="Delivery"/>
    <s v="$36–$50"/>
    <s v="Drinks"/>
    <s v="Very satisfied"/>
    <s v="Drink options"/>
    <x v="0"/>
    <s v="New drinks"/>
  </r>
  <r>
    <n v="6"/>
    <d v="2026-04-10T11:06:42"/>
    <d v="2026-04-10T11:07:38"/>
    <d v="1899-12-30T00:00:56"/>
    <s v="anonymous"/>
    <m/>
    <s v="Weekly"/>
    <s v="Smoothies"/>
    <s v="Takeout"/>
    <s v="$10–$20"/>
    <s v="Drinks"/>
    <s v="Very satisfied"/>
    <s v="Menu variety"/>
    <x v="0"/>
    <m/>
  </r>
  <r>
    <n v="7"/>
    <d v="2026-04-10T11:07:03"/>
    <d v="2026-04-10T11:08:37"/>
    <d v="1899-12-30T00:01:34"/>
    <s v="anonymous"/>
    <m/>
    <s v="Daily"/>
    <s v="Smoothies"/>
    <s v="Takeout"/>
    <s v="$21–$35"/>
    <s v="Food quality"/>
    <s v="Very satisfied"/>
    <s v="Menu variety"/>
    <x v="0"/>
    <m/>
  </r>
  <r>
    <n v="8"/>
    <d v="2026-04-10T11:40:54"/>
    <d v="2026-04-10T11:43:00"/>
    <d v="1899-12-30T00:02:06"/>
    <s v="anonymous"/>
    <m/>
    <s v="Weekly"/>
    <s v="Breakfast"/>
    <s v="Dine in"/>
    <s v="$10–$20"/>
    <s v="Food quality"/>
    <s v="Very satisfied"/>
    <s v="Drink options"/>
    <x v="0"/>
    <s v="Deals and discou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77EF6-6378-4A5D-A87B-F7240067CCF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4:O17" firstHeaderRow="1" firstDataRow="1" firstDataCol="1"/>
  <pivotFields count="15">
    <pivotField dataField="1" showAll="0"/>
    <pivotField numFmtId="170" showAll="0"/>
    <pivotField numFmtId="170" showAll="0"/>
    <pivotField numFmtId="4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0" totalsRowCount="1">
  <autoFilter ref="A1:O9" xr:uid="{00000000-0009-0000-0100-000001000000}"/>
  <tableColumns count="15">
    <tableColumn id="1" xr3:uid="{00000000-0010-0000-0000-000001000000}" name="Id" dataDxfId="28" totalsRow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7" totalsRowDxfId="1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6" totalsRowDxfId="11">
      <extLst>
        <ext xmlns:xlmsforms="http://schemas.microsoft.com/office/spreadsheetml/2023/msForms" uri="{FCC71383-01E1-4257-9335-427F07BE8D7F}">
          <xlmsforms:question id="submitDate"/>
        </ext>
      </extLst>
    </tableColumn>
    <tableColumn id="15" xr3:uid="{2EFA33AD-E82C-45AF-8F1B-13BDFA2D8897}" name="Time" totalsRowFunction="custom" dataDxfId="25" totalsRowDxfId="10">
      <calculatedColumnFormula>C2-B2</calculatedColumnFormula>
      <totalsRowFormula>AVERAGE(D2:D9)</totalsRowFormula>
    </tableColumn>
    <tableColumn id="4" xr3:uid="{00000000-0010-0000-0000-000004000000}" name="Email" dataDxfId="24" totalsRow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3" totalsRow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ur smoothie café?" dataDxfId="22" totalsRowDxfId="7">
      <extLst>
        <ext xmlns:xlmsforms="http://schemas.microsoft.com/office/spreadsheetml/2023/msForms" uri="{FCC71383-01E1-4257-9335-427F07BE8D7F}">
          <xlmsforms:question id="ra33a33c4a1b54821aa74e82a8a295556"/>
        </ext>
      </extLst>
    </tableColumn>
    <tableColumn id="7" xr3:uid="{00000000-0010-0000-0000-000007000000}" name="What do you usually come here for?" dataDxfId="21" totalsRowDxfId="6">
      <extLst>
        <ext xmlns:xlmsforms="http://schemas.microsoft.com/office/spreadsheetml/2023/msForms" uri="{FCC71383-01E1-4257-9335-427F07BE8D7F}">
          <xlmsforms:question id="rfd088a5b325a44ab8017ab56328f5813"/>
        </ext>
      </extLst>
    </tableColumn>
    <tableColumn id="8" xr3:uid="{00000000-0010-0000-0000-000008000000}" name="How do you usually order?" dataDxfId="20" totalsRowDxfId="5">
      <extLst>
        <ext xmlns:xlmsforms="http://schemas.microsoft.com/office/spreadsheetml/2023/msForms" uri="{FCC71383-01E1-4257-9335-427F07BE8D7F}">
          <xlmsforms:question id="rf6eb38081b5844b285e7da7b825d43e2"/>
        </ext>
      </extLst>
    </tableColumn>
    <tableColumn id="9" xr3:uid="{00000000-0010-0000-0000-000009000000}" name="About how much do you usually spend per visit?" dataDxfId="19" totalsRowDxfId="4">
      <extLst>
        <ext xmlns:xlmsforms="http://schemas.microsoft.com/office/spreadsheetml/2023/msForms" uri="{FCC71383-01E1-4257-9335-427F07BE8D7F}">
          <xlmsforms:question id="r9c6de81188db4399b30a76bda2b0ff2a"/>
        </ext>
      </extLst>
    </tableColumn>
    <tableColumn id="10" xr3:uid="{00000000-0010-0000-0000-00000A000000}" name=" What keeps you coming back the most?" dataDxfId="18" totalsRowDxfId="3">
      <extLst>
        <ext xmlns:xlmsforms="http://schemas.microsoft.com/office/spreadsheetml/2023/msForms" uri="{FCC71383-01E1-4257-9335-427F07BE8D7F}">
          <xlmsforms:question id="rdecd4bdf63504576985b0b9166366179"/>
        </ext>
      </extLst>
    </tableColumn>
    <tableColumn id="11" xr3:uid="{00000000-0010-0000-0000-00000B000000}" name="How satisfied are you with your overall experience?" dataDxfId="17" totalsRowDxfId="2">
      <extLst>
        <ext xmlns:xlmsforms="http://schemas.microsoft.com/office/spreadsheetml/2023/msForms" uri="{FCC71383-01E1-4257-9335-427F07BE8D7F}">
          <xlmsforms:question id="r79f9f62c136e48cc80cb63b7f2c827b5"/>
        </ext>
      </extLst>
    </tableColumn>
    <tableColumn id="12" xr3:uid="{00000000-0010-0000-0000-00000C000000}" name="What would you most like to see improved?" dataDxfId="16">
      <extLst>
        <ext xmlns:xlmsforms="http://schemas.microsoft.com/office/spreadsheetml/2023/msForms" uri="{FCC71383-01E1-4257-9335-427F07BE8D7F}">
          <xlmsforms:question id="r7832d7ef25f94b8e9e6a73a051f16c6c"/>
        </ext>
      </extLst>
    </tableColumn>
    <tableColumn id="13" xr3:uid="{00000000-0010-0000-0000-00000D000000}" name="Would you join a customer rewards program?_x000a_" dataDxfId="15" totalsRowDxfId="1">
      <extLst>
        <ext xmlns:xlmsforms="http://schemas.microsoft.com/office/spreadsheetml/2023/msForms" uri="{FCC71383-01E1-4257-9335-427F07BE8D7F}">
          <xlmsforms:question id="r534751098b3f4d79931bf1476d602944"/>
        </ext>
      </extLst>
    </tableColumn>
    <tableColumn id="14" xr3:uid="{00000000-0010-0000-0000-00000E000000}" name="What would motivate you to visit more often?" dataDxfId="14" totalsRowDxfId="0">
      <extLst>
        <ext xmlns:xlmsforms="http://schemas.microsoft.com/office/spreadsheetml/2023/msForms" uri="{FCC71383-01E1-4257-9335-427F07BE8D7F}">
          <xlmsforms:question id="rf712c84cd8614979b18f33aaa9bae60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1e7M0cRNr9EjRZ0ZPtyLflUOFlSUE5QSTY2NVRLQkNIVEhKV1NRWTM1Vy4u" isFormConnected="1" maxResponseId="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ra33a33c4a1b54821aa74e82a8a295556</xlmsforms:syncedQuestionId>
        <xlmsforms:syncedQuestionId>rfd088a5b325a44ab8017ab56328f5813</xlmsforms:syncedQuestionId>
        <xlmsforms:syncedQuestionId>rf6eb38081b5844b285e7da7b825d43e2</xlmsforms:syncedQuestionId>
        <xlmsforms:syncedQuestionId>r9c6de81188db4399b30a76bda2b0ff2a</xlmsforms:syncedQuestionId>
        <xlmsforms:syncedQuestionId>rdecd4bdf63504576985b0b9166366179</xlmsforms:syncedQuestionId>
        <xlmsforms:syncedQuestionId>r79f9f62c136e48cc80cb63b7f2c827b5</xlmsforms:syncedQuestionId>
        <xlmsforms:syncedQuestionId>r7832d7ef25f94b8e9e6a73a051f16c6c</xlmsforms:syncedQuestionId>
        <xlmsforms:syncedQuestionId>r534751098b3f4d79931bf1476d602944</xlmsforms:syncedQuestionId>
        <xlmsforms:syncedQuestionId>rf712c84cd8614979b18f33aaa9bae607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I1" zoomScale="115" zoomScaleNormal="115" workbookViewId="0">
      <selection activeCell="K12" sqref="K12"/>
    </sheetView>
  </sheetViews>
  <sheetFormatPr defaultRowHeight="14.5" x14ac:dyDescent="0.35"/>
  <cols>
    <col min="1" max="1" width="20" bestFit="1" customWidth="1"/>
    <col min="2" max="3" width="20" style="4" bestFit="1" customWidth="1"/>
    <col min="4" max="4" width="20" style="5" customWidth="1"/>
    <col min="5" max="13" width="20" bestFit="1" customWidth="1"/>
    <col min="14" max="14" width="12.36328125" bestFit="1" customWidth="1"/>
    <col min="15" max="15" width="8.7265625" bestFit="1" customWidth="1"/>
  </cols>
  <sheetData>
    <row r="1" spans="1:15" x14ac:dyDescent="0.35">
      <c r="A1" t="s">
        <v>0</v>
      </c>
      <c r="B1" s="4" t="s">
        <v>1</v>
      </c>
      <c r="C1" s="4" t="s">
        <v>2</v>
      </c>
      <c r="D1" s="5" t="s">
        <v>53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s="4">
        <v>46122.460613425923</v>
      </c>
      <c r="C2" s="4">
        <v>46122.460787037038</v>
      </c>
      <c r="D2" s="5">
        <f t="shared" ref="D2:D9" si="0">C2-B2</f>
        <v>1.7361111531499773E-4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35">
      <c r="A3">
        <v>2</v>
      </c>
      <c r="B3" s="4">
        <v>46122.460868055554</v>
      </c>
      <c r="C3" s="4">
        <v>46122.461157407408</v>
      </c>
      <c r="D3" s="5">
        <f t="shared" si="0"/>
        <v>2.8935185400769114E-4</v>
      </c>
      <c r="E3" t="s">
        <v>14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35">
      <c r="A4">
        <v>3</v>
      </c>
      <c r="B4" s="4">
        <v>46122.461180555554</v>
      </c>
      <c r="C4" s="4">
        <v>46122.461550925924</v>
      </c>
      <c r="D4" s="5">
        <f t="shared" si="0"/>
        <v>3.7037036963738501E-4</v>
      </c>
      <c r="E4" t="s">
        <v>14</v>
      </c>
      <c r="G4" t="s">
        <v>33</v>
      </c>
      <c r="H4" t="s">
        <v>34</v>
      </c>
      <c r="I4" t="s">
        <v>35</v>
      </c>
      <c r="J4" t="s">
        <v>18</v>
      </c>
      <c r="K4" t="s">
        <v>19</v>
      </c>
      <c r="L4" t="s">
        <v>36</v>
      </c>
      <c r="M4" t="s">
        <v>37</v>
      </c>
      <c r="N4" t="s">
        <v>22</v>
      </c>
      <c r="O4" t="s">
        <v>38</v>
      </c>
    </row>
    <row r="5" spans="1:15" x14ac:dyDescent="0.35">
      <c r="A5">
        <v>4</v>
      </c>
      <c r="B5" s="4">
        <v>46122.461597222224</v>
      </c>
      <c r="C5" s="4">
        <v>46122.461909722224</v>
      </c>
      <c r="D5" s="5">
        <f t="shared" si="0"/>
        <v>3.125000002910383E-4</v>
      </c>
      <c r="E5" t="s">
        <v>14</v>
      </c>
      <c r="G5" t="s">
        <v>24</v>
      </c>
      <c r="H5" t="s">
        <v>39</v>
      </c>
      <c r="I5" t="s">
        <v>26</v>
      </c>
      <c r="J5" t="s">
        <v>40</v>
      </c>
      <c r="K5" t="s">
        <v>19</v>
      </c>
      <c r="L5" t="s">
        <v>29</v>
      </c>
      <c r="M5" t="s">
        <v>41</v>
      </c>
      <c r="N5" t="s">
        <v>22</v>
      </c>
      <c r="O5" t="s">
        <v>42</v>
      </c>
    </row>
    <row r="6" spans="1:15" x14ac:dyDescent="0.35">
      <c r="A6">
        <v>5</v>
      </c>
      <c r="B6" s="4">
        <v>46122.461956018517</v>
      </c>
      <c r="C6" s="4">
        <v>46122.462233796294</v>
      </c>
      <c r="D6" s="5">
        <f t="shared" si="0"/>
        <v>2.7777777722803876E-4</v>
      </c>
      <c r="E6" t="s">
        <v>14</v>
      </c>
      <c r="G6" t="s">
        <v>33</v>
      </c>
      <c r="H6" t="s">
        <v>16</v>
      </c>
      <c r="I6" t="s">
        <v>35</v>
      </c>
      <c r="J6" t="s">
        <v>27</v>
      </c>
      <c r="K6" t="s">
        <v>43</v>
      </c>
      <c r="L6" t="s">
        <v>29</v>
      </c>
      <c r="M6" t="s">
        <v>44</v>
      </c>
      <c r="N6" t="s">
        <v>22</v>
      </c>
      <c r="O6" t="s">
        <v>45</v>
      </c>
    </row>
    <row r="7" spans="1:15" x14ac:dyDescent="0.35">
      <c r="A7">
        <v>6</v>
      </c>
      <c r="B7" s="4">
        <v>46122.46298611111</v>
      </c>
      <c r="C7" s="4">
        <v>46122.463634259257</v>
      </c>
      <c r="D7" s="5">
        <f t="shared" si="0"/>
        <v>6.4814814686542377E-4</v>
      </c>
      <c r="E7" t="s">
        <v>14</v>
      </c>
      <c r="G7" t="s">
        <v>46</v>
      </c>
      <c r="H7" t="s">
        <v>16</v>
      </c>
      <c r="I7" t="s">
        <v>17</v>
      </c>
      <c r="J7" t="s">
        <v>40</v>
      </c>
      <c r="K7" t="s">
        <v>43</v>
      </c>
      <c r="L7" t="s">
        <v>29</v>
      </c>
      <c r="M7" t="s">
        <v>30</v>
      </c>
      <c r="N7" t="s">
        <v>22</v>
      </c>
    </row>
    <row r="8" spans="1:15" x14ac:dyDescent="0.35">
      <c r="A8">
        <v>7</v>
      </c>
      <c r="B8" s="4">
        <v>46122.463229166664</v>
      </c>
      <c r="C8" s="4">
        <v>46122.464317129627</v>
      </c>
      <c r="D8" s="5">
        <f t="shared" si="0"/>
        <v>1.0879629626288079E-3</v>
      </c>
      <c r="E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29</v>
      </c>
      <c r="M8" t="s">
        <v>30</v>
      </c>
      <c r="N8" t="s">
        <v>22</v>
      </c>
    </row>
    <row r="9" spans="1:15" x14ac:dyDescent="0.35">
      <c r="A9">
        <v>8</v>
      </c>
      <c r="B9" s="4">
        <v>46122.48673611111</v>
      </c>
      <c r="C9" s="4">
        <v>46122.488194444442</v>
      </c>
      <c r="D9" s="5">
        <f t="shared" si="0"/>
        <v>1.4583333322661929E-3</v>
      </c>
      <c r="E9" t="s">
        <v>14</v>
      </c>
      <c r="G9" t="s">
        <v>46</v>
      </c>
      <c r="H9" t="s">
        <v>39</v>
      </c>
      <c r="I9" t="s">
        <v>26</v>
      </c>
      <c r="J9" t="s">
        <v>40</v>
      </c>
      <c r="K9" t="s">
        <v>19</v>
      </c>
      <c r="L9" t="s">
        <v>29</v>
      </c>
      <c r="M9" t="s">
        <v>44</v>
      </c>
      <c r="N9" t="s">
        <v>22</v>
      </c>
      <c r="O9" t="s">
        <v>47</v>
      </c>
    </row>
    <row r="10" spans="1:15" x14ac:dyDescent="0.35">
      <c r="A10" s="6"/>
      <c r="D10" s="5">
        <f>AVERAGE(D2:D9)</f>
        <v>5.7725694477994693E-4</v>
      </c>
      <c r="E10" s="1"/>
      <c r="F10" s="1"/>
      <c r="G10" s="1"/>
      <c r="H10" s="1"/>
      <c r="I10" s="1"/>
      <c r="J10" s="1"/>
      <c r="K10" s="1"/>
      <c r="L10" s="1"/>
      <c r="N10" s="1"/>
      <c r="O10" s="1"/>
    </row>
    <row r="11" spans="1:15" x14ac:dyDescent="0.35">
      <c r="K11">
        <f>COUNTIF(K2:K9,"Food quality")</f>
        <v>5</v>
      </c>
      <c r="L11">
        <f>COUNTIF(L2:L9,"Very satisfied")</f>
        <v>6</v>
      </c>
      <c r="N11">
        <f>COUNTIF(N2:N9,"Yes")</f>
        <v>7</v>
      </c>
    </row>
    <row r="12" spans="1:15" x14ac:dyDescent="0.35">
      <c r="N12">
        <f>COUNTIF(N2:N9,"Maybe")</f>
        <v>1</v>
      </c>
    </row>
    <row r="14" spans="1:15" x14ac:dyDescent="0.35">
      <c r="N14" s="7" t="s">
        <v>54</v>
      </c>
      <c r="O14" t="s">
        <v>56</v>
      </c>
    </row>
    <row r="15" spans="1:15" x14ac:dyDescent="0.35">
      <c r="N15" s="8" t="s">
        <v>31</v>
      </c>
      <c r="O15" s="6">
        <v>2</v>
      </c>
    </row>
    <row r="16" spans="1:15" x14ac:dyDescent="0.35">
      <c r="N16" s="8" t="s">
        <v>22</v>
      </c>
      <c r="O16" s="6">
        <v>34</v>
      </c>
    </row>
    <row r="17" spans="14:15" x14ac:dyDescent="0.35">
      <c r="N17" s="8" t="s">
        <v>55</v>
      </c>
      <c r="O17" s="6">
        <v>36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318E-7A0D-440E-B58D-2EF5A328A900}">
  <dimension ref="A1:A6"/>
  <sheetViews>
    <sheetView workbookViewId="0">
      <selection activeCell="A7" sqref="A7"/>
    </sheetView>
  </sheetViews>
  <sheetFormatPr defaultRowHeight="14.5" x14ac:dyDescent="0.35"/>
  <cols>
    <col min="1" max="1" width="65.36328125" customWidth="1"/>
  </cols>
  <sheetData>
    <row r="1" spans="1:1" x14ac:dyDescent="0.35">
      <c r="A1" t="s">
        <v>52</v>
      </c>
    </row>
    <row r="2" spans="1:1" x14ac:dyDescent="0.35">
      <c r="A2" s="2"/>
    </row>
    <row r="3" spans="1:1" x14ac:dyDescent="0.35">
      <c r="A3" s="3" t="s">
        <v>51</v>
      </c>
    </row>
    <row r="4" spans="1:1" x14ac:dyDescent="0.35">
      <c r="A4" s="3" t="s">
        <v>50</v>
      </c>
    </row>
    <row r="5" spans="1:1" x14ac:dyDescent="0.35">
      <c r="A5" s="3" t="s">
        <v>49</v>
      </c>
    </row>
    <row r="6" spans="1:1" x14ac:dyDescent="0.35">
      <c r="A6" s="3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10fa938135b808f17595af21c7675450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8fffa6ddc6845d0759a1205da59a7e7c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7D313D87-74FF-4FD9-86AB-568367F2B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FF9BD0-1B76-4173-A14C-1AA9EC7E47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2DC0CA-2EE2-4799-85C0-B4A9FC96BAC1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b275f972-a0ec-44ed-acfc-93b347ca42d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Hamzah Alssoudi</dc:creator>
  <cp:lastModifiedBy>hamzah alssoudi</cp:lastModifiedBy>
  <dcterms:created xsi:type="dcterms:W3CDTF">2026-04-10T16:30:25Z</dcterms:created>
  <dcterms:modified xsi:type="dcterms:W3CDTF">2026-04-10T17:09:41Z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